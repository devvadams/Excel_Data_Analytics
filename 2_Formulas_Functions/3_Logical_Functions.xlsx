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python\Excel_Data_Analytics\2_Formulas_Functions\"/>
    </mc:Choice>
  </mc:AlternateContent>
  <xr:revisionPtr revIDLastSave="0" documentId="13_ncr:1_{27F7EEF3-EBB8-4156-85C2-B91EBB7D9682}" xr6:coauthVersionLast="47" xr6:coauthVersionMax="47" xr10:uidLastSave="{00000000-0000-0000-0000-000000000000}"/>
  <bookViews>
    <workbookView xWindow="-120" yWindow="-120" windowWidth="20730" windowHeight="11160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8" l="1"/>
  <c r="E3" i="8"/>
  <c r="Q2" i="10"/>
  <c r="M2" i="10"/>
  <c r="P3" i="10"/>
  <c r="P2" i="10"/>
  <c r="O2" i="10"/>
  <c r="L3" i="7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O8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Q2" i="11"/>
  <c r="R5" i="11"/>
  <c r="R4" i="11"/>
  <c r="R2" i="11"/>
  <c r="R3" i="11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7" i="10"/>
  <c r="O6" i="10"/>
  <c r="O5" i="10"/>
  <c r="O4" i="10"/>
  <c r="O3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N3" i="11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N2" i="11"/>
  <c r="M2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2" i="10"/>
  <c r="K6" i="10"/>
  <c r="K3" i="10"/>
  <c r="K4" i="10"/>
  <c r="K5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P3" i="7"/>
  <c r="Q3" i="9"/>
  <c r="XFD1" i="11"/>
  <c r="F4" i="8"/>
  <c r="F5" i="8"/>
  <c r="F7" i="8"/>
  <c r="F8" i="8"/>
  <c r="F9" i="8"/>
  <c r="E4" i="8"/>
  <c r="E5" i="8"/>
  <c r="E7" i="8"/>
  <c r="E8" i="8"/>
  <c r="E9" i="8"/>
  <c r="D4" i="12"/>
  <c r="E4" i="12"/>
  <c r="D5" i="12"/>
  <c r="E5" i="12"/>
  <c r="D6" i="12"/>
  <c r="E6" i="12"/>
  <c r="E3" i="12"/>
  <c r="D3" i="12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<sst xmlns="http://schemas.openxmlformats.org/spreadsheetml/2006/main" count="395" uniqueCount="144">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</sst>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abSelected="1" zoomScale="120" zoomScaleNormal="120" workbookViewId="0">
      <selection activeCell="T8" sqref="T8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>$C$15&lt;=C3</f>
        <v>1</v>
      </c>
      <c r="M3" s="19" t="b">
        <f t="shared" ref="M3:M12" si="0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1">C4</f>
        <v>4</v>
      </c>
      <c r="G4" s="19">
        <f t="shared" ref="G4:G12" si="2">D4+E4</f>
        <v>147000</v>
      </c>
      <c r="H4" s="20">
        <f t="shared" ref="H4:H12" si="3">E4/D4</f>
        <v>8.8888888888888892E-2</v>
      </c>
      <c r="I4" s="21">
        <f t="shared" ref="I4:I12" si="4">D4+D4*H4</f>
        <v>147000</v>
      </c>
      <c r="J4" s="19" t="b">
        <f t="shared" ref="J4:J12" si="5">G4=I4</f>
        <v>1</v>
      </c>
      <c r="K4" s="19" t="b">
        <f t="shared" ref="K4:K12" si="6">E4&gt;D4</f>
        <v>0</v>
      </c>
      <c r="L4" s="19" t="b">
        <f t="shared" ref="L4:L12" si="7">$C$15&lt;=C4</f>
        <v>0</v>
      </c>
      <c r="M4" s="19" t="b">
        <f t="shared" si="0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1"/>
        <v>2</v>
      </c>
      <c r="G5" s="19">
        <f t="shared" si="2"/>
        <v>80000</v>
      </c>
      <c r="H5" s="20">
        <f t="shared" si="3"/>
        <v>6.6666666666666666E-2</v>
      </c>
      <c r="I5" s="21">
        <f t="shared" si="4"/>
        <v>80000</v>
      </c>
      <c r="J5" s="19" t="b">
        <f t="shared" si="5"/>
        <v>1</v>
      </c>
      <c r="K5" s="19" t="b">
        <f t="shared" si="6"/>
        <v>0</v>
      </c>
      <c r="L5" s="19" t="b">
        <f t="shared" si="7"/>
        <v>0</v>
      </c>
      <c r="M5" s="19" t="b">
        <f t="shared" si="0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1"/>
        <v>6</v>
      </c>
      <c r="G6" s="19">
        <f t="shared" si="2"/>
        <v>118000</v>
      </c>
      <c r="H6" s="20">
        <f t="shared" si="3"/>
        <v>7.2727272727272724E-2</v>
      </c>
      <c r="I6" s="21">
        <f t="shared" si="4"/>
        <v>118000</v>
      </c>
      <c r="J6" s="19" t="b">
        <f t="shared" si="5"/>
        <v>1</v>
      </c>
      <c r="K6" s="19" t="b">
        <f t="shared" si="6"/>
        <v>0</v>
      </c>
      <c r="L6" s="19" t="b">
        <f t="shared" si="7"/>
        <v>1</v>
      </c>
      <c r="M6" s="19" t="b">
        <f t="shared" si="0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1"/>
        <v>3</v>
      </c>
      <c r="G7" s="19">
        <f t="shared" si="2"/>
        <v>136000</v>
      </c>
      <c r="H7" s="20">
        <f t="shared" si="3"/>
        <v>8.7999999999999995E-2</v>
      </c>
      <c r="I7" s="21">
        <f t="shared" si="4"/>
        <v>136000</v>
      </c>
      <c r="J7" s="19" t="b">
        <f t="shared" si="5"/>
        <v>1</v>
      </c>
      <c r="K7" s="19" t="b">
        <f t="shared" si="6"/>
        <v>0</v>
      </c>
      <c r="L7" s="19" t="b">
        <f t="shared" si="7"/>
        <v>0</v>
      </c>
      <c r="M7" s="19" t="b">
        <f t="shared" si="0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1"/>
        <v>7</v>
      </c>
      <c r="G8" s="19">
        <f t="shared" si="2"/>
        <v>97000</v>
      </c>
      <c r="H8" s="20">
        <f t="shared" si="3"/>
        <v>7.7777777777777779E-2</v>
      </c>
      <c r="I8" s="21">
        <f t="shared" si="4"/>
        <v>97000</v>
      </c>
      <c r="J8" s="19" t="b">
        <f t="shared" si="5"/>
        <v>1</v>
      </c>
      <c r="K8" s="19" t="b">
        <f t="shared" si="6"/>
        <v>0</v>
      </c>
      <c r="L8" s="19" t="b">
        <f t="shared" si="7"/>
        <v>1</v>
      </c>
      <c r="M8" s="19" t="b">
        <f t="shared" si="0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1"/>
        <v>10</v>
      </c>
      <c r="G9" s="19">
        <f t="shared" si="2"/>
        <v>165000</v>
      </c>
      <c r="H9" s="20">
        <f t="shared" si="3"/>
        <v>0.1</v>
      </c>
      <c r="I9" s="21">
        <f t="shared" si="4"/>
        <v>165000</v>
      </c>
      <c r="J9" s="19" t="b">
        <f t="shared" si="5"/>
        <v>1</v>
      </c>
      <c r="K9" s="19" t="b">
        <f t="shared" si="6"/>
        <v>0</v>
      </c>
      <c r="L9" s="19" t="b">
        <f t="shared" si="7"/>
        <v>1</v>
      </c>
      <c r="M9" s="19" t="b">
        <f t="shared" si="0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1"/>
        <v>8</v>
      </c>
      <c r="G10" s="19">
        <f t="shared" si="2"/>
        <v>143000</v>
      </c>
      <c r="H10" s="20">
        <f t="shared" si="3"/>
        <v>0.1</v>
      </c>
      <c r="I10" s="21">
        <f t="shared" si="4"/>
        <v>143000</v>
      </c>
      <c r="J10" s="19" t="b">
        <f t="shared" si="5"/>
        <v>1</v>
      </c>
      <c r="K10" s="19" t="b">
        <f t="shared" si="6"/>
        <v>0</v>
      </c>
      <c r="L10" s="19" t="b">
        <f t="shared" si="7"/>
        <v>1</v>
      </c>
      <c r="M10" s="19" t="b">
        <f t="shared" si="0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1"/>
        <v>3</v>
      </c>
      <c r="G11" s="19">
        <f t="shared" si="2"/>
        <v>154000</v>
      </c>
      <c r="H11" s="20">
        <f t="shared" si="3"/>
        <v>0.1</v>
      </c>
      <c r="I11" s="21">
        <f t="shared" si="4"/>
        <v>154000</v>
      </c>
      <c r="J11" s="19" t="b">
        <f t="shared" si="5"/>
        <v>1</v>
      </c>
      <c r="K11" s="19" t="b">
        <f t="shared" si="6"/>
        <v>0</v>
      </c>
      <c r="L11" s="19" t="b">
        <f t="shared" si="7"/>
        <v>0</v>
      </c>
      <c r="M11" s="19" t="b">
        <f t="shared" si="0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1"/>
        <v>5</v>
      </c>
      <c r="G12" s="19">
        <f t="shared" si="2"/>
        <v>124000</v>
      </c>
      <c r="H12" s="20">
        <f t="shared" si="3"/>
        <v>7.8260869565217397E-2</v>
      </c>
      <c r="I12" s="21">
        <f t="shared" si="4"/>
        <v>124000</v>
      </c>
      <c r="J12" s="19" t="b">
        <f t="shared" si="5"/>
        <v>1</v>
      </c>
      <c r="K12" s="19" t="b">
        <f t="shared" si="6"/>
        <v>0</v>
      </c>
      <c r="L12" s="19" t="b">
        <f t="shared" si="7"/>
        <v>1</v>
      </c>
      <c r="M12" s="19" t="b">
        <f t="shared" si="0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topLeftCell="B7" zoomScale="120" zoomScaleNormal="120" workbookViewId="0">
      <selection activeCell="Q4" sqref="Q4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zoomScale="90" zoomScaleNormal="90" workbookViewId="0">
      <pane xSplit="1" ySplit="1" topLeftCell="H5" activePane="bottomRight" state="frozen"/>
      <selection pane="topRight" activeCell="B1" sqref="B1"/>
      <selection pane="bottomLeft" activeCell="A2" sqref="A2"/>
      <selection pane="bottomRight" activeCell="R22" sqref="R22"/>
    </sheetView>
  </sheetViews>
  <sheetFormatPr defaultRowHeight="15" x14ac:dyDescent="0.25"/>
  <cols>
    <col min="1" max="1" width="16.85546875" bestFit="1" customWidth="1"/>
    <col min="2" max="2" width="19.140625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bestFit="1" customWidth="1"/>
    <col min="8" max="8" width="13.85546875" bestFit="1" customWidth="1"/>
    <col min="9" max="9" width="19" bestFit="1" customWidth="1"/>
    <col min="10" max="10" width="79.42578125" hidden="1" customWidth="1"/>
    <col min="11" max="18" width="16.140625" customWidth="1"/>
    <col min="19" max="19" width="13.85546875" customWidth="1"/>
    <col min="20" max="20" width="15.140625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 IF($A2=$L$1, "Role Desired", "Not Desired"))</f>
        <v>Not Desired</v>
      </c>
      <c r="N2" t="b">
        <f>AND($A2 =$K$1, $A2 = $L$1)</f>
        <v>0</v>
      </c>
      <c r="O2" t="b">
        <f>OR($A2 =$K$1, $A2 = $L$1)</f>
        <v>0</v>
      </c>
      <c r="P2" t="str">
        <f>IF(OR($A2=$K$1, $A2=$L$1),"Role Desired","Not Desired")</f>
        <v>Not Desired</v>
      </c>
      <c r="Q2" t="str">
        <f>IF($H2 &gt; 85000, "Salary &gt; 85k","Salary Low")</f>
        <v>Salary &gt; 85k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 IF($A3=$L$1, "Role Desired", "Not Desired"))</f>
        <v>Role Desired</v>
      </c>
      <c r="N3" t="b">
        <f t="shared" ref="N3:N21" si="3">AND($A3 =$K$1, $A3 = $L$1)</f>
        <v>0</v>
      </c>
      <c r="O3" t="b">
        <f t="shared" ref="O3:O21" si="4">OR($A3 =$K$1, $A3 = $L$1)</f>
        <v>1</v>
      </c>
      <c r="P3" t="str">
        <f>IF(OR($A3=$K$1, $A3=$L$1),"Role Desired","Not Desired")</f>
        <v>Role Desired</v>
      </c>
      <c r="Q3" t="str">
        <f t="shared" ref="Q3:Q21" si="5">IF($H3 &gt; 85000, "Salary &gt; 85k","Salary Low")</f>
        <v>Salary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ref="P4:P21" si="6">IF(OR($A4=$K$1, $A4=$L$1),"Role Desired","Not Desired")</f>
        <v>Role Desired</v>
      </c>
      <c r="Q4" t="str">
        <f t="shared" si="5"/>
        <v>Salary Low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6"/>
        <v>Not Desired</v>
      </c>
      <c r="Q5" t="str">
        <f t="shared" si="5"/>
        <v>Salary Low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>IF($A6=$K$1, "Role Desired", "Not Desired")</f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6"/>
        <v>Not Desired</v>
      </c>
      <c r="Q6" t="str">
        <f t="shared" si="5"/>
        <v>Salary Low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6"/>
        <v>Not Desired</v>
      </c>
      <c r="Q7" t="str">
        <f t="shared" si="5"/>
        <v>Salary Low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>OR($A8 =$K$1, $A8 = $L$1)</f>
        <v>1</v>
      </c>
      <c r="P8" t="str">
        <f t="shared" si="6"/>
        <v>Role Desired</v>
      </c>
      <c r="Q8" t="str">
        <f t="shared" si="5"/>
        <v>Salary Low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6"/>
        <v>Role Desired</v>
      </c>
      <c r="Q9" t="str">
        <f t="shared" si="5"/>
        <v>Salary &gt; 85k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6"/>
        <v>Role Desired</v>
      </c>
      <c r="Q10" t="str">
        <f t="shared" si="5"/>
        <v>Salary Low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6"/>
        <v>Role Desired</v>
      </c>
      <c r="Q11" t="str">
        <f t="shared" si="5"/>
        <v>Salary &gt; 85k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6"/>
        <v>Not Desired</v>
      </c>
      <c r="Q12" t="str">
        <f t="shared" si="5"/>
        <v>Salary &gt; 85k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6"/>
        <v>Not Desired</v>
      </c>
      <c r="Q13" t="str">
        <f t="shared" si="5"/>
        <v>Salary &gt; 85k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6"/>
        <v>Not Desired</v>
      </c>
      <c r="Q14" t="str">
        <f t="shared" si="5"/>
        <v>Salary &gt; 85k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6"/>
        <v>Not Desired</v>
      </c>
      <c r="Q15" t="str">
        <f t="shared" si="5"/>
        <v>Salary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6"/>
        <v>Not Desired</v>
      </c>
      <c r="Q16" t="str">
        <f t="shared" si="5"/>
        <v>Salary &gt; 85k</v>
      </c>
    </row>
    <row r="17" spans="1:17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6"/>
        <v>Not Desired</v>
      </c>
      <c r="Q17" t="str">
        <f t="shared" si="5"/>
        <v>Salary &gt; 85k</v>
      </c>
    </row>
    <row r="18" spans="1:17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6"/>
        <v>Role Desired</v>
      </c>
      <c r="Q18" t="str">
        <f t="shared" si="5"/>
        <v>Salary Low</v>
      </c>
    </row>
    <row r="19" spans="1:17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6"/>
        <v>Not Desired</v>
      </c>
      <c r="Q19" t="str">
        <f t="shared" si="5"/>
        <v>Salary &gt; 85k</v>
      </c>
    </row>
    <row r="20" spans="1:17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6"/>
        <v>Not Desired</v>
      </c>
      <c r="Q20" t="str">
        <f t="shared" si="5"/>
        <v>Salary Low</v>
      </c>
    </row>
    <row r="21" spans="1:17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6"/>
        <v>Role Desired</v>
      </c>
      <c r="Q21" t="str">
        <f t="shared" si="5"/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topLeftCell="H1" workbookViewId="0">
      <selection activeCell="R9" sqref="R9"/>
    </sheetView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e">
        <f ca="1">_xlfn.IFS(H2="", "No Data", H2&gt;=$Q$1, "Salary &gt; 85K", TRUE, "Salary Low")</f>
        <v>#NAME?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>AND($A3=$K$1, $A3=$L$1)</f>
        <v>0</v>
      </c>
      <c r="O3" t="b">
        <f t="shared" ref="O3:O21" si="3">OR($A3=$K$1, $A3=$L$1)</f>
        <v>1</v>
      </c>
      <c r="P3" t="str">
        <f t="shared" ref="P3:P21" si="4">IF(OR($A3=$K$1, $A3=$L$1), "Role Desired", "NOT Desired")</f>
        <v>Role Desired</v>
      </c>
      <c r="Q3" t="str">
        <f t="shared" ref="Q3:Q21" si="5">IF($H3&gt;$Q$1, "Salary &gt; 85K", "Salary Low")</f>
        <v>Salary Low</v>
      </c>
      <c r="R3" t="e">
        <f ca="1">_xlfn.IFS(H3="", "No Data", H3&gt;=$Q$1, "Salary &gt; 85K", TRUE, "Salary Low")</f>
        <v>#NAME?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ref="N4:N21" si="6">AND($A4=$K$1, $A4=$L$1)</f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e">
        <f ca="1">_xlfn.IFS(H4="", "No Data", H4&gt;=$Q$1, "Salary &gt; 85K", TRUE, "Salary Low")</f>
        <v>#NAME?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6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e">
        <f ca="1">IFS(H5="", "No Data", H5&gt;=$Q$1, "Salary &gt; 85K", TRUE, "Salary Low")</f>
        <v>#NAME?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6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6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6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6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6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6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6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6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6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6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6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6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6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6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6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6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F4" sqref="F4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B4" sqref="B4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2026-08-17T08:32:54Z</dcterms:modified>
</cp:coreProperties>
</file>